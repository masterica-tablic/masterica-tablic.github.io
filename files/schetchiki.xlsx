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чётч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&quot; ₽&quot;"/>
  </numFmts>
  <fonts count="6">
    <font>
      <name val="Calibri"/>
      <family val="2"/>
      <color theme="1"/>
      <sz val="11"/>
      <scheme val="minor"/>
    </font>
    <font>
      <name val="Segoe UI"/>
      <b val="1"/>
      <color rgb="002E266D"/>
      <sz val="18"/>
    </font>
    <font>
      <name val="Segoe UI"/>
      <color rgb="002E266D"/>
      <sz val="9"/>
    </font>
    <font>
      <name val="Segoe UI"/>
      <b val="1"/>
      <color rgb="002E266D"/>
      <sz val="12"/>
    </font>
    <font>
      <name val="Segoe UI"/>
      <b val="1"/>
      <color rgb="002E266D"/>
      <sz val="10"/>
    </font>
    <font>
      <name val="Segoe UI"/>
      <color rgb="002E266D"/>
      <sz val="10"/>
    </font>
  </fonts>
  <fills count="9">
    <fill>
      <patternFill/>
    </fill>
    <fill>
      <patternFill patternType="gray125"/>
    </fill>
    <fill>
      <patternFill patternType="solid">
        <fgColor rgb="00FFF9C7"/>
      </patternFill>
    </fill>
    <fill>
      <patternFill patternType="solid">
        <fgColor rgb="00C0F0F7"/>
      </patternFill>
    </fill>
    <fill>
      <patternFill patternType="solid">
        <fgColor rgb="00FFFBE6"/>
      </patternFill>
    </fill>
    <fill>
      <patternFill patternType="solid">
        <fgColor rgb="00DCEF7B"/>
      </patternFill>
    </fill>
    <fill>
      <patternFill patternType="solid">
        <fgColor rgb="00FFFFFF"/>
      </patternFill>
    </fill>
    <fill>
      <patternFill patternType="solid">
        <fgColor rgb="00EFFCFF"/>
      </patternFill>
    </fill>
    <fill>
      <patternFill patternType="solid">
        <fgColor rgb="00FFE9DB"/>
      </patternFill>
    </fill>
  </fills>
  <borders count="5">
    <border>
      <left/>
      <right/>
      <top/>
      <bottom/>
      <diagonal/>
    </border>
    <border>
      <left style="thin">
        <color rgb="00C9C6DE"/>
      </left>
      <right style="thin">
        <color rgb="00C9C6DE"/>
      </right>
      <top style="thin">
        <color rgb="00C9C6DE"/>
      </top>
      <bottom style="thin">
        <color rgb="00C9C6DE"/>
      </bottom>
    </border>
    <border>
      <left/>
      <right/>
      <top style="thin">
        <color rgb="00C9C6DE"/>
      </top>
      <bottom/>
      <diagonal/>
    </border>
    <border>
      <left/>
      <right style="thin">
        <color rgb="00C9C6DE"/>
      </right>
      <top style="thin">
        <color rgb="00C9C6DE"/>
      </top>
      <bottom/>
      <diagonal/>
    </border>
    <border>
      <left/>
      <right style="thin">
        <color rgb="00C9C6DE"/>
      </right>
      <top style="thin">
        <color rgb="00C9C6DE"/>
      </top>
      <bottom style="thin">
        <color rgb="00C9C6DE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4" fontId="4" fillId="4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 wrapText="1"/>
    </xf>
    <xf numFmtId="166" fontId="4" fillId="3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right" vertical="center"/>
    </xf>
    <xf numFmtId="166" fontId="5" fillId="7" borderId="1" applyAlignment="1" pivotButton="0" quotePrefix="0" xfId="0">
      <alignment horizontal="right" vertical="center"/>
    </xf>
    <xf numFmtId="166" fontId="4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166" fontId="4" fillId="8" borderId="1" applyAlignment="1" pivotButton="0" quotePrefix="0" xfId="0">
      <alignment horizontal="right" vertical="center"/>
    </xf>
    <xf numFmtId="4" fontId="4" fillId="7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3" customWidth="1" min="4" max="4"/>
    <col width="14" customWidth="1" min="5" max="5"/>
    <col width="13" customWidth="1" min="6" max="6"/>
    <col width="13" customWidth="1" min="7" max="7"/>
    <col width="14" customWidth="1" min="8" max="8"/>
    <col width="13" customWidth="1" min="9" max="9"/>
    <col width="13" customWidth="1" min="10" max="10"/>
    <col width="15" customWidth="1" min="11" max="11"/>
    <col width="3" customWidth="1" min="12" max="12"/>
    <col width="30" customWidth="1" min="13" max="13"/>
    <col width="15" customWidth="1" min="14" max="14"/>
  </cols>
  <sheetData>
    <row r="1" ht="34" customHeight="1">
      <c r="A1" s="1" t="inlineStr">
        <is>
          <t>Показания счётчиков и сумма к оплате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8" customHeight="1">
      <c r="A2" s="3" t="inlineStr">
        <is>
          <t>Вписываете только дату и показания. Расход и деньги считаются сами.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A4" s="4" t="inlineStr">
        <is>
          <t>Тарифы — впишите свои</t>
        </is>
      </c>
    </row>
    <row r="5" ht="30" customHeight="1">
      <c r="A5" s="5" t="inlineStr">
        <is>
          <t>Холодная вода, ₽ за м³</t>
        </is>
      </c>
      <c r="B5" s="6" t="n"/>
      <c r="C5" s="7" t="n">
        <v>45</v>
      </c>
      <c r="D5" s="5" t="inlineStr">
        <is>
          <t>Горячая вода, ₽ за м³</t>
        </is>
      </c>
      <c r="E5" s="6" t="n"/>
      <c r="F5" s="7" t="n">
        <v>250</v>
      </c>
      <c r="G5" s="5" t="inlineStr">
        <is>
          <t>Электричество, ₽ за кВт·ч</t>
        </is>
      </c>
      <c r="H5" s="6" t="n"/>
      <c r="I5" s="7" t="n">
        <v>6.5</v>
      </c>
    </row>
    <row r="6" ht="38" customHeight="1">
      <c r="A6" s="8" t="inlineStr">
        <is>
          <t>Дата</t>
        </is>
      </c>
      <c r="B6" s="8" t="inlineStr">
        <is>
          <t>Хол. вода
показание</t>
        </is>
      </c>
      <c r="C6" s="8" t="inlineStr">
        <is>
          <t>Расход, м³</t>
        </is>
      </c>
      <c r="D6" s="8" t="inlineStr">
        <is>
          <t>Сумма, ₽</t>
        </is>
      </c>
      <c r="E6" s="8" t="inlineStr">
        <is>
          <t>Гор. вода
показание</t>
        </is>
      </c>
      <c r="F6" s="8" t="inlineStr">
        <is>
          <t>Расход, м³</t>
        </is>
      </c>
      <c r="G6" s="8" t="inlineStr">
        <is>
          <t>Сумма, ₽</t>
        </is>
      </c>
      <c r="H6" s="8" t="inlineStr">
        <is>
          <t>Электро
показание</t>
        </is>
      </c>
      <c r="I6" s="8" t="inlineStr">
        <is>
          <t>Расход, кВт·ч</t>
        </is>
      </c>
      <c r="J6" s="8" t="inlineStr">
        <is>
          <t>Сумма, ₽</t>
        </is>
      </c>
      <c r="K6" s="8" t="inlineStr">
        <is>
          <t>Итого за месяц, ₽</t>
        </is>
      </c>
    </row>
    <row r="7" ht="28" customHeight="1">
      <c r="A7" s="9" t="inlineStr">
        <is>
          <t>Начальные</t>
        </is>
      </c>
      <c r="B7" s="10" t="n">
        <v>145.2</v>
      </c>
      <c r="C7" s="11" t="n"/>
      <c r="D7" s="11" t="n"/>
      <c r="E7" s="10" t="n">
        <v>88.59999999999999</v>
      </c>
      <c r="F7" s="11" t="n"/>
      <c r="G7" s="11" t="n"/>
      <c r="H7" s="10" t="n">
        <v>12450</v>
      </c>
      <c r="I7" s="11" t="n"/>
      <c r="J7" s="11" t="n"/>
      <c r="K7" s="11" t="n"/>
      <c r="M7" s="12" t="inlineStr">
        <is>
          <t>Заплачено за всё время</t>
        </is>
      </c>
      <c r="N7" s="13">
        <f>ROUND(SUM($K$8:$K$31),0)</f>
        <v/>
      </c>
    </row>
    <row r="8" ht="28" customHeight="1">
      <c r="A8" s="14" t="n">
        <v>46204</v>
      </c>
      <c r="B8" s="10" t="n">
        <v>148.6</v>
      </c>
      <c r="C8" s="15">
        <f>IF(OR($B8="",$B7=""),"",$B8-$B7)</f>
        <v/>
      </c>
      <c r="D8" s="16">
        <f>IF($C8="","",ROUND($C8*$C$5,2))</f>
        <v/>
      </c>
      <c r="E8" s="10" t="n">
        <v>91.40000000000001</v>
      </c>
      <c r="F8" s="15">
        <f>IF(OR($E8="",$E7=""),"",$E8-$E7)</f>
        <v/>
      </c>
      <c r="G8" s="16">
        <f>IF($F8="","",ROUND($F8*$F$5,2))</f>
        <v/>
      </c>
      <c r="H8" s="10" t="n">
        <v>12671</v>
      </c>
      <c r="I8" s="15">
        <f>IF(OR($H8="",$H7=""),"",$H8-$H7)</f>
        <v/>
      </c>
      <c r="J8" s="16">
        <f>IF($I8="","",ROUND($I8*$I$5,2))</f>
        <v/>
      </c>
      <c r="K8" s="17">
        <f>IF(AND($D8="",$G8="",$J8=""),"",ROUND(SUM($D8,$G8,$J8),2))</f>
        <v/>
      </c>
      <c r="M8" s="18" t="inlineStr">
        <is>
          <t>В среднем за месяц</t>
        </is>
      </c>
      <c r="N8" s="17">
        <f>IFERROR(ROUND(AVERAGEIF($K$8:$K$31,"&gt;0"),0),0)</f>
        <v/>
      </c>
    </row>
    <row r="9" ht="28" customHeight="1">
      <c r="A9" s="14" t="n">
        <v>46235</v>
      </c>
      <c r="B9" s="10" t="n">
        <v>152.1</v>
      </c>
      <c r="C9" s="15">
        <f>IF(OR($B9="",$B8=""),"",$B9-$B8)</f>
        <v/>
      </c>
      <c r="D9" s="16">
        <f>IF($C9="","",ROUND($C9*$C$5,2))</f>
        <v/>
      </c>
      <c r="E9" s="10" t="n">
        <v>94.90000000000001</v>
      </c>
      <c r="F9" s="15">
        <f>IF(OR($E9="",$E8=""),"",$E9-$E8)</f>
        <v/>
      </c>
      <c r="G9" s="16">
        <f>IF($F9="","",ROUND($F9*$F$5,2))</f>
        <v/>
      </c>
      <c r="H9" s="10" t="n">
        <v>12858</v>
      </c>
      <c r="I9" s="15">
        <f>IF(OR($H9="",$H8=""),"",$H9-$H8)</f>
        <v/>
      </c>
      <c r="J9" s="16">
        <f>IF($I9="","",ROUND($I9*$I$5,2))</f>
        <v/>
      </c>
      <c r="K9" s="17">
        <f>IF(AND($D9="",$G9="",$J9=""),"",ROUND(SUM($D9,$G9,$J9),2))</f>
        <v/>
      </c>
      <c r="M9" s="19" t="inlineStr">
        <is>
          <t>Самый дорогой месяц</t>
        </is>
      </c>
      <c r="N9" s="20">
        <f>IFERROR(ROUND(MAX($K$8:$K$31),0),0)</f>
        <v/>
      </c>
    </row>
    <row r="10" ht="28" customHeight="1">
      <c r="A10" s="14" t="n">
        <v>46266</v>
      </c>
      <c r="B10" s="10" t="n">
        <v>155</v>
      </c>
      <c r="C10" s="15">
        <f>IF(OR($B10="",$B9=""),"",$B10-$B9)</f>
        <v/>
      </c>
      <c r="D10" s="16">
        <f>IF($C10="","",ROUND($C10*$C$5,2))</f>
        <v/>
      </c>
      <c r="E10" s="10" t="n">
        <v>97.2</v>
      </c>
      <c r="F10" s="15">
        <f>IF(OR($E10="",$E9=""),"",$E10-$E9)</f>
        <v/>
      </c>
      <c r="G10" s="16">
        <f>IF($F10="","",ROUND($F10*$F$5,2))</f>
        <v/>
      </c>
      <c r="H10" s="10" t="n">
        <v>13094</v>
      </c>
      <c r="I10" s="15">
        <f>IF(OR($H10="",$H9=""),"",$H10-$H9)</f>
        <v/>
      </c>
      <c r="J10" s="16">
        <f>IF($I10="","",ROUND($I10*$I$5,2))</f>
        <v/>
      </c>
      <c r="K10" s="17">
        <f>IF(AND($D10="",$G10="",$J10=""),"",ROUND(SUM($D10,$G10,$J10),2))</f>
        <v/>
      </c>
      <c r="M10" s="18" t="inlineStr">
        <is>
          <t>Воды израсходовано, м³</t>
        </is>
      </c>
      <c r="N10" s="21">
        <f>ROUND(SUM($C$8:$C$31)+SUM($F$8:$F$31),1)</f>
        <v/>
      </c>
    </row>
    <row r="11" ht="28" customHeight="1">
      <c r="A11" s="14" t="n"/>
      <c r="B11" s="10" t="n"/>
      <c r="C11" s="15">
        <f>IF(OR($B11="",$B10=""),"",$B11-$B10)</f>
        <v/>
      </c>
      <c r="D11" s="16">
        <f>IF($C11="","",ROUND($C11*$C$5,2))</f>
        <v/>
      </c>
      <c r="E11" s="10" t="n"/>
      <c r="F11" s="15">
        <f>IF(OR($E11="",$E10=""),"",$E11-$E10)</f>
        <v/>
      </c>
      <c r="G11" s="16">
        <f>IF($F11="","",ROUND($F11*$F$5,2))</f>
        <v/>
      </c>
      <c r="H11" s="10" t="n"/>
      <c r="I11" s="15">
        <f>IF(OR($H11="",$H10=""),"",$H11-$H10)</f>
        <v/>
      </c>
      <c r="J11" s="16">
        <f>IF($I11="","",ROUND($I11*$I$5,2))</f>
        <v/>
      </c>
      <c r="K11" s="17">
        <f>IF(AND($D11="",$G11="",$J11=""),"",ROUND(SUM($D11,$G11,$J11),2))</f>
        <v/>
      </c>
      <c r="M11" s="18" t="inlineStr">
        <is>
          <t>Электричества, кВт·ч</t>
        </is>
      </c>
      <c r="N11" s="22">
        <f>ROUND(SUM($I$8:$I$31),0)</f>
        <v/>
      </c>
    </row>
    <row r="12" ht="18" customHeight="1">
      <c r="A12" s="14" t="n"/>
      <c r="B12" s="10" t="n"/>
      <c r="C12" s="15">
        <f>IF(OR($B12="",$B11=""),"",$B12-$B11)</f>
        <v/>
      </c>
      <c r="D12" s="16">
        <f>IF($C12="","",ROUND($C12*$C$5,2))</f>
        <v/>
      </c>
      <c r="E12" s="10" t="n"/>
      <c r="F12" s="15">
        <f>IF(OR($E12="",$E11=""),"",$E12-$E11)</f>
        <v/>
      </c>
      <c r="G12" s="16">
        <f>IF($F12="","",ROUND($F12*$F$5,2))</f>
        <v/>
      </c>
      <c r="H12" s="10" t="n"/>
      <c r="I12" s="15">
        <f>IF(OR($H12="",$H11=""),"",$H12-$H11)</f>
        <v/>
      </c>
      <c r="J12" s="16">
        <f>IF($I12="","",ROUND($I12*$I$5,2))</f>
        <v/>
      </c>
      <c r="K12" s="17">
        <f>IF(AND($D12="",$G12="",$J12=""),"",ROUND(SUM($D12,$G12,$J12),2))</f>
        <v/>
      </c>
    </row>
    <row r="13" ht="18" customHeight="1">
      <c r="A13" s="14" t="n"/>
      <c r="B13" s="10" t="n"/>
      <c r="C13" s="15">
        <f>IF(OR($B13="",$B12=""),"",$B13-$B12)</f>
        <v/>
      </c>
      <c r="D13" s="16">
        <f>IF($C13="","",ROUND($C13*$C$5,2))</f>
        <v/>
      </c>
      <c r="E13" s="10" t="n"/>
      <c r="F13" s="15">
        <f>IF(OR($E13="",$E12=""),"",$E13-$E12)</f>
        <v/>
      </c>
      <c r="G13" s="16">
        <f>IF($F13="","",ROUND($F13*$F$5,2))</f>
        <v/>
      </c>
      <c r="H13" s="10" t="n"/>
      <c r="I13" s="15">
        <f>IF(OR($H13="",$H12=""),"",$H13-$H12)</f>
        <v/>
      </c>
      <c r="J13" s="16">
        <f>IF($I13="","",ROUND($I13*$I$5,2))</f>
        <v/>
      </c>
      <c r="K13" s="17">
        <f>IF(AND($D13="",$G13="",$J13=""),"",ROUND(SUM($D13,$G13,$J13),2))</f>
        <v/>
      </c>
      <c r="M13" s="4" t="inlineStr">
        <is>
          <t>Как заполнять</t>
        </is>
      </c>
    </row>
    <row r="14" ht="44" customHeight="1">
      <c r="A14" s="14" t="n"/>
      <c r="B14" s="10" t="n"/>
      <c r="C14" s="15">
        <f>IF(OR($B14="",$B13=""),"",$B14-$B13)</f>
        <v/>
      </c>
      <c r="D14" s="16">
        <f>IF($C14="","",ROUND($C14*$C$5,2))</f>
        <v/>
      </c>
      <c r="E14" s="10" t="n"/>
      <c r="F14" s="15">
        <f>IF(OR($E14="",$E13=""),"",$E14-$E13)</f>
        <v/>
      </c>
      <c r="G14" s="16">
        <f>IF($F14="","",ROUND($F14*$F$5,2))</f>
        <v/>
      </c>
      <c r="H14" s="10" t="n"/>
      <c r="I14" s="15">
        <f>IF(OR($H14="",$H13=""),"",$H14-$H13)</f>
        <v/>
      </c>
      <c r="J14" s="16">
        <f>IF($I14="","",ROUND($I14*$I$5,2))</f>
        <v/>
      </c>
      <c r="K14" s="17">
        <f>IF(AND($D14="",$G14="",$J14=""),"",ROUND(SUM($D14,$G14,$J14),2))</f>
        <v/>
      </c>
      <c r="M14" s="23" t="inlineStr">
        <is>
          <t>• В строку «Начальные» впишите показания на сегодня — с них пойдёт отсчёт.</t>
        </is>
      </c>
    </row>
    <row r="15" ht="44" customHeight="1">
      <c r="A15" s="14" t="n"/>
      <c r="B15" s="10" t="n"/>
      <c r="C15" s="15">
        <f>IF(OR($B15="",$B14=""),"",$B15-$B14)</f>
        <v/>
      </c>
      <c r="D15" s="16">
        <f>IF($C15="","",ROUND($C15*$C$5,2))</f>
        <v/>
      </c>
      <c r="E15" s="10" t="n"/>
      <c r="F15" s="15">
        <f>IF(OR($E15="",$E14=""),"",$E15-$E14)</f>
        <v/>
      </c>
      <c r="G15" s="16">
        <f>IF($F15="","",ROUND($F15*$F$5,2))</f>
        <v/>
      </c>
      <c r="H15" s="10" t="n"/>
      <c r="I15" s="15">
        <f>IF(OR($H15="",$H14=""),"",$H15-$H14)</f>
        <v/>
      </c>
      <c r="J15" s="16">
        <f>IF($I15="","",ROUND($I15*$I$5,2))</f>
        <v/>
      </c>
      <c r="K15" s="17">
        <f>IF(AND($D15="",$G15="",$J15=""),"",ROUND(SUM($D15,$G15,$J15),2))</f>
        <v/>
      </c>
      <c r="M15" s="23" t="inlineStr">
        <is>
          <t>• Дальше раз в месяц добавляйте новую строку: дата и три числа со счётчиков.</t>
        </is>
      </c>
    </row>
    <row r="16" ht="44" customHeight="1">
      <c r="A16" s="14" t="n"/>
      <c r="B16" s="10" t="n"/>
      <c r="C16" s="15">
        <f>IF(OR($B16="",$B15=""),"",$B16-$B15)</f>
        <v/>
      </c>
      <c r="D16" s="16">
        <f>IF($C16="","",ROUND($C16*$C$5,2))</f>
        <v/>
      </c>
      <c r="E16" s="10" t="n"/>
      <c r="F16" s="15">
        <f>IF(OR($E16="",$E15=""),"",$E16-$E15)</f>
        <v/>
      </c>
      <c r="G16" s="16">
        <f>IF($F16="","",ROUND($F16*$F$5,2))</f>
        <v/>
      </c>
      <c r="H16" s="10" t="n"/>
      <c r="I16" s="15">
        <f>IF(OR($H16="",$H15=""),"",$H16-$H15)</f>
        <v/>
      </c>
      <c r="J16" s="16">
        <f>IF($I16="","",ROUND($I16*$I$5,2))</f>
        <v/>
      </c>
      <c r="K16" s="17">
        <f>IF(AND($D16="",$G16="",$J16=""),"",ROUND(SUM($D16,$G16,$J16),2))</f>
        <v/>
      </c>
      <c r="M16" s="23" t="inlineStr">
        <is>
          <t>• Если счётчиков меньше трёх — просто не заполняйте лишний блок, он останется пустым и в сумму не попадёт.</t>
        </is>
      </c>
    </row>
    <row r="17" ht="44" customHeight="1">
      <c r="A17" s="14" t="n"/>
      <c r="B17" s="10" t="n"/>
      <c r="C17" s="15">
        <f>IF(OR($B17="",$B16=""),"",$B17-$B16)</f>
        <v/>
      </c>
      <c r="D17" s="16">
        <f>IF($C17="","",ROUND($C17*$C$5,2))</f>
        <v/>
      </c>
      <c r="E17" s="10" t="n"/>
      <c r="F17" s="15">
        <f>IF(OR($E17="",$E16=""),"",$E17-$E16)</f>
        <v/>
      </c>
      <c r="G17" s="16">
        <f>IF($F17="","",ROUND($F17*$F$5,2))</f>
        <v/>
      </c>
      <c r="H17" s="10" t="n"/>
      <c r="I17" s="15">
        <f>IF(OR($H17="",$H16=""),"",$H17-$H16)</f>
        <v/>
      </c>
      <c r="J17" s="16">
        <f>IF($I17="","",ROUND($I17*$I$5,2))</f>
        <v/>
      </c>
      <c r="K17" s="17">
        <f>IF(AND($D17="",$G17="",$J17=""),"",ROUND(SUM($D17,$G17,$J17),2))</f>
        <v/>
      </c>
      <c r="M17" s="23" t="inlineStr">
        <is>
          <t>• Тарифы меняют раз в полгода. Поменяете число сверху — пересчитается всё, включая прошлые месяцы, поэтому старые суммы лучше сохранять скриншотом.</t>
        </is>
      </c>
    </row>
    <row r="18" ht="18" customHeight="1">
      <c r="A18" s="14" t="n"/>
      <c r="B18" s="10" t="n"/>
      <c r="C18" s="15">
        <f>IF(OR($B18="",$B17=""),"",$B18-$B17)</f>
        <v/>
      </c>
      <c r="D18" s="16">
        <f>IF($C18="","",ROUND($C18*$C$5,2))</f>
        <v/>
      </c>
      <c r="E18" s="10" t="n"/>
      <c r="F18" s="15">
        <f>IF(OR($E18="",$E17=""),"",$E18-$E17)</f>
        <v/>
      </c>
      <c r="G18" s="16">
        <f>IF($F18="","",ROUND($F18*$F$5,2))</f>
        <v/>
      </c>
      <c r="H18" s="10" t="n"/>
      <c r="I18" s="15">
        <f>IF(OR($H18="",$H17=""),"",$H18-$H17)</f>
        <v/>
      </c>
      <c r="J18" s="16">
        <f>IF($I18="","",ROUND($I18*$I$5,2))</f>
        <v/>
      </c>
      <c r="K18" s="17">
        <f>IF(AND($D18="",$G18="",$J18=""),"",ROUND(SUM($D18,$G18,$J18),2))</f>
        <v/>
      </c>
    </row>
    <row r="19" ht="18" customHeight="1">
      <c r="A19" s="14" t="n"/>
      <c r="B19" s="10" t="n"/>
      <c r="C19" s="15">
        <f>IF(OR($B19="",$B18=""),"",$B19-$B18)</f>
        <v/>
      </c>
      <c r="D19" s="16">
        <f>IF($C19="","",ROUND($C19*$C$5,2))</f>
        <v/>
      </c>
      <c r="E19" s="10" t="n"/>
      <c r="F19" s="15">
        <f>IF(OR($E19="",$E18=""),"",$E19-$E18)</f>
        <v/>
      </c>
      <c r="G19" s="16">
        <f>IF($F19="","",ROUND($F19*$F$5,2))</f>
        <v/>
      </c>
      <c r="H19" s="10" t="n"/>
      <c r="I19" s="15">
        <f>IF(OR($H19="",$H18=""),"",$H19-$H18)</f>
        <v/>
      </c>
      <c r="J19" s="16">
        <f>IF($I19="","",ROUND($I19*$I$5,2))</f>
        <v/>
      </c>
      <c r="K19" s="17">
        <f>IF(AND($D19="",$G19="",$J19=""),"",ROUND(SUM($D19,$G19,$J19),2))</f>
        <v/>
      </c>
    </row>
    <row r="20" ht="18" customHeight="1">
      <c r="A20" s="14" t="n"/>
      <c r="B20" s="10" t="n"/>
      <c r="C20" s="15">
        <f>IF(OR($B20="",$B19=""),"",$B20-$B19)</f>
        <v/>
      </c>
      <c r="D20" s="16">
        <f>IF($C20="","",ROUND($C20*$C$5,2))</f>
        <v/>
      </c>
      <c r="E20" s="10" t="n"/>
      <c r="F20" s="15">
        <f>IF(OR($E20="",$E19=""),"",$E20-$E19)</f>
        <v/>
      </c>
      <c r="G20" s="16">
        <f>IF($F20="","",ROUND($F20*$F$5,2))</f>
        <v/>
      </c>
      <c r="H20" s="10" t="n"/>
      <c r="I20" s="15">
        <f>IF(OR($H20="",$H19=""),"",$H20-$H19)</f>
        <v/>
      </c>
      <c r="J20" s="16">
        <f>IF($I20="","",ROUND($I20*$I$5,2))</f>
        <v/>
      </c>
      <c r="K20" s="17">
        <f>IF(AND($D20="",$G20="",$J20=""),"",ROUND(SUM($D20,$G20,$J20),2))</f>
        <v/>
      </c>
    </row>
    <row r="21" ht="18" customHeight="1">
      <c r="A21" s="14" t="n"/>
      <c r="B21" s="10" t="n"/>
      <c r="C21" s="15">
        <f>IF(OR($B21="",$B20=""),"",$B21-$B20)</f>
        <v/>
      </c>
      <c r="D21" s="16">
        <f>IF($C21="","",ROUND($C21*$C$5,2))</f>
        <v/>
      </c>
      <c r="E21" s="10" t="n"/>
      <c r="F21" s="15">
        <f>IF(OR($E21="",$E20=""),"",$E21-$E20)</f>
        <v/>
      </c>
      <c r="G21" s="16">
        <f>IF($F21="","",ROUND($F21*$F$5,2))</f>
        <v/>
      </c>
      <c r="H21" s="10" t="n"/>
      <c r="I21" s="15">
        <f>IF(OR($H21="",$H20=""),"",$H21-$H20)</f>
        <v/>
      </c>
      <c r="J21" s="16">
        <f>IF($I21="","",ROUND($I21*$I$5,2))</f>
        <v/>
      </c>
      <c r="K21" s="17">
        <f>IF(AND($D21="",$G21="",$J21=""),"",ROUND(SUM($D21,$G21,$J21),2))</f>
        <v/>
      </c>
    </row>
    <row r="22" ht="18" customHeight="1">
      <c r="A22" s="14" t="n"/>
      <c r="B22" s="10" t="n"/>
      <c r="C22" s="15">
        <f>IF(OR($B22="",$B21=""),"",$B22-$B21)</f>
        <v/>
      </c>
      <c r="D22" s="16">
        <f>IF($C22="","",ROUND($C22*$C$5,2))</f>
        <v/>
      </c>
      <c r="E22" s="10" t="n"/>
      <c r="F22" s="15">
        <f>IF(OR($E22="",$E21=""),"",$E22-$E21)</f>
        <v/>
      </c>
      <c r="G22" s="16">
        <f>IF($F22="","",ROUND($F22*$F$5,2))</f>
        <v/>
      </c>
      <c r="H22" s="10" t="n"/>
      <c r="I22" s="15">
        <f>IF(OR($H22="",$H21=""),"",$H22-$H21)</f>
        <v/>
      </c>
      <c r="J22" s="16">
        <f>IF($I22="","",ROUND($I22*$I$5,2))</f>
        <v/>
      </c>
      <c r="K22" s="17">
        <f>IF(AND($D22="",$G22="",$J22=""),"",ROUND(SUM($D22,$G22,$J22),2))</f>
        <v/>
      </c>
    </row>
    <row r="23" ht="18" customHeight="1">
      <c r="A23" s="14" t="n"/>
      <c r="B23" s="10" t="n"/>
      <c r="C23" s="15">
        <f>IF(OR($B23="",$B22=""),"",$B23-$B22)</f>
        <v/>
      </c>
      <c r="D23" s="16">
        <f>IF($C23="","",ROUND($C23*$C$5,2))</f>
        <v/>
      </c>
      <c r="E23" s="10" t="n"/>
      <c r="F23" s="15">
        <f>IF(OR($E23="",$E22=""),"",$E23-$E22)</f>
        <v/>
      </c>
      <c r="G23" s="16">
        <f>IF($F23="","",ROUND($F23*$F$5,2))</f>
        <v/>
      </c>
      <c r="H23" s="10" t="n"/>
      <c r="I23" s="15">
        <f>IF(OR($H23="",$H22=""),"",$H23-$H22)</f>
        <v/>
      </c>
      <c r="J23" s="16">
        <f>IF($I23="","",ROUND($I23*$I$5,2))</f>
        <v/>
      </c>
      <c r="K23" s="17">
        <f>IF(AND($D23="",$G23="",$J23=""),"",ROUND(SUM($D23,$G23,$J23),2))</f>
        <v/>
      </c>
    </row>
    <row r="24" ht="18" customHeight="1">
      <c r="A24" s="14" t="n"/>
      <c r="B24" s="10" t="n"/>
      <c r="C24" s="15">
        <f>IF(OR($B24="",$B23=""),"",$B24-$B23)</f>
        <v/>
      </c>
      <c r="D24" s="16">
        <f>IF($C24="","",ROUND($C24*$C$5,2))</f>
        <v/>
      </c>
      <c r="E24" s="10" t="n"/>
      <c r="F24" s="15">
        <f>IF(OR($E24="",$E23=""),"",$E24-$E23)</f>
        <v/>
      </c>
      <c r="G24" s="16">
        <f>IF($F24="","",ROUND($F24*$F$5,2))</f>
        <v/>
      </c>
      <c r="H24" s="10" t="n"/>
      <c r="I24" s="15">
        <f>IF(OR($H24="",$H23=""),"",$H24-$H23)</f>
        <v/>
      </c>
      <c r="J24" s="16">
        <f>IF($I24="","",ROUND($I24*$I$5,2))</f>
        <v/>
      </c>
      <c r="K24" s="17">
        <f>IF(AND($D24="",$G24="",$J24=""),"",ROUND(SUM($D24,$G24,$J24),2))</f>
        <v/>
      </c>
    </row>
    <row r="25" ht="18" customHeight="1">
      <c r="A25" s="14" t="n"/>
      <c r="B25" s="10" t="n"/>
      <c r="C25" s="15">
        <f>IF(OR($B25="",$B24=""),"",$B25-$B24)</f>
        <v/>
      </c>
      <c r="D25" s="16">
        <f>IF($C25="","",ROUND($C25*$C$5,2))</f>
        <v/>
      </c>
      <c r="E25" s="10" t="n"/>
      <c r="F25" s="15">
        <f>IF(OR($E25="",$E24=""),"",$E25-$E24)</f>
        <v/>
      </c>
      <c r="G25" s="16">
        <f>IF($F25="","",ROUND($F25*$F$5,2))</f>
        <v/>
      </c>
      <c r="H25" s="10" t="n"/>
      <c r="I25" s="15">
        <f>IF(OR($H25="",$H24=""),"",$H25-$H24)</f>
        <v/>
      </c>
      <c r="J25" s="16">
        <f>IF($I25="","",ROUND($I25*$I$5,2))</f>
        <v/>
      </c>
      <c r="K25" s="17">
        <f>IF(AND($D25="",$G25="",$J25=""),"",ROUND(SUM($D25,$G25,$J25),2))</f>
        <v/>
      </c>
    </row>
    <row r="26" ht="18" customHeight="1">
      <c r="A26" s="14" t="n"/>
      <c r="B26" s="10" t="n"/>
      <c r="C26" s="15">
        <f>IF(OR($B26="",$B25=""),"",$B26-$B25)</f>
        <v/>
      </c>
      <c r="D26" s="16">
        <f>IF($C26="","",ROUND($C26*$C$5,2))</f>
        <v/>
      </c>
      <c r="E26" s="10" t="n"/>
      <c r="F26" s="15">
        <f>IF(OR($E26="",$E25=""),"",$E26-$E25)</f>
        <v/>
      </c>
      <c r="G26" s="16">
        <f>IF($F26="","",ROUND($F26*$F$5,2))</f>
        <v/>
      </c>
      <c r="H26" s="10" t="n"/>
      <c r="I26" s="15">
        <f>IF(OR($H26="",$H25=""),"",$H26-$H25)</f>
        <v/>
      </c>
      <c r="J26" s="16">
        <f>IF($I26="","",ROUND($I26*$I$5,2))</f>
        <v/>
      </c>
      <c r="K26" s="17">
        <f>IF(AND($D26="",$G26="",$J26=""),"",ROUND(SUM($D26,$G26,$J26),2))</f>
        <v/>
      </c>
    </row>
    <row r="27" ht="18" customHeight="1">
      <c r="A27" s="14" t="n"/>
      <c r="B27" s="10" t="n"/>
      <c r="C27" s="15">
        <f>IF(OR($B27="",$B26=""),"",$B27-$B26)</f>
        <v/>
      </c>
      <c r="D27" s="16">
        <f>IF($C27="","",ROUND($C27*$C$5,2))</f>
        <v/>
      </c>
      <c r="E27" s="10" t="n"/>
      <c r="F27" s="15">
        <f>IF(OR($E27="",$E26=""),"",$E27-$E26)</f>
        <v/>
      </c>
      <c r="G27" s="16">
        <f>IF($F27="","",ROUND($F27*$F$5,2))</f>
        <v/>
      </c>
      <c r="H27" s="10" t="n"/>
      <c r="I27" s="15">
        <f>IF(OR($H27="",$H26=""),"",$H27-$H26)</f>
        <v/>
      </c>
      <c r="J27" s="16">
        <f>IF($I27="","",ROUND($I27*$I$5,2))</f>
        <v/>
      </c>
      <c r="K27" s="17">
        <f>IF(AND($D27="",$G27="",$J27=""),"",ROUND(SUM($D27,$G27,$J27),2))</f>
        <v/>
      </c>
    </row>
    <row r="28" ht="18" customHeight="1">
      <c r="A28" s="14" t="n"/>
      <c r="B28" s="10" t="n"/>
      <c r="C28" s="15">
        <f>IF(OR($B28="",$B27=""),"",$B28-$B27)</f>
        <v/>
      </c>
      <c r="D28" s="16">
        <f>IF($C28="","",ROUND($C28*$C$5,2))</f>
        <v/>
      </c>
      <c r="E28" s="10" t="n"/>
      <c r="F28" s="15">
        <f>IF(OR($E28="",$E27=""),"",$E28-$E27)</f>
        <v/>
      </c>
      <c r="G28" s="16">
        <f>IF($F28="","",ROUND($F28*$F$5,2))</f>
        <v/>
      </c>
      <c r="H28" s="10" t="n"/>
      <c r="I28" s="15">
        <f>IF(OR($H28="",$H27=""),"",$H28-$H27)</f>
        <v/>
      </c>
      <c r="J28" s="16">
        <f>IF($I28="","",ROUND($I28*$I$5,2))</f>
        <v/>
      </c>
      <c r="K28" s="17">
        <f>IF(AND($D28="",$G28="",$J28=""),"",ROUND(SUM($D28,$G28,$J28),2))</f>
        <v/>
      </c>
    </row>
    <row r="29" ht="18" customHeight="1">
      <c r="A29" s="14" t="n"/>
      <c r="B29" s="10" t="n"/>
      <c r="C29" s="15">
        <f>IF(OR($B29="",$B28=""),"",$B29-$B28)</f>
        <v/>
      </c>
      <c r="D29" s="16">
        <f>IF($C29="","",ROUND($C29*$C$5,2))</f>
        <v/>
      </c>
      <c r="E29" s="10" t="n"/>
      <c r="F29" s="15">
        <f>IF(OR($E29="",$E28=""),"",$E29-$E28)</f>
        <v/>
      </c>
      <c r="G29" s="16">
        <f>IF($F29="","",ROUND($F29*$F$5,2))</f>
        <v/>
      </c>
      <c r="H29" s="10" t="n"/>
      <c r="I29" s="15">
        <f>IF(OR($H29="",$H28=""),"",$H29-$H28)</f>
        <v/>
      </c>
      <c r="J29" s="16">
        <f>IF($I29="","",ROUND($I29*$I$5,2))</f>
        <v/>
      </c>
      <c r="K29" s="17">
        <f>IF(AND($D29="",$G29="",$J29=""),"",ROUND(SUM($D29,$G29,$J29),2))</f>
        <v/>
      </c>
    </row>
    <row r="30" ht="18" customHeight="1">
      <c r="A30" s="14" t="n"/>
      <c r="B30" s="10" t="n"/>
      <c r="C30" s="15">
        <f>IF(OR($B30="",$B29=""),"",$B30-$B29)</f>
        <v/>
      </c>
      <c r="D30" s="16">
        <f>IF($C30="","",ROUND($C30*$C$5,2))</f>
        <v/>
      </c>
      <c r="E30" s="10" t="n"/>
      <c r="F30" s="15">
        <f>IF(OR($E30="",$E29=""),"",$E30-$E29)</f>
        <v/>
      </c>
      <c r="G30" s="16">
        <f>IF($F30="","",ROUND($F30*$F$5,2))</f>
        <v/>
      </c>
      <c r="H30" s="10" t="n"/>
      <c r="I30" s="15">
        <f>IF(OR($H30="",$H29=""),"",$H30-$H29)</f>
        <v/>
      </c>
      <c r="J30" s="16">
        <f>IF($I30="","",ROUND($I30*$I$5,2))</f>
        <v/>
      </c>
      <c r="K30" s="17">
        <f>IF(AND($D30="",$G30="",$J30=""),"",ROUND(SUM($D30,$G30,$J30),2))</f>
        <v/>
      </c>
    </row>
    <row r="31" ht="18" customHeight="1">
      <c r="A31" s="14" t="n"/>
      <c r="B31" s="10" t="n"/>
      <c r="C31" s="15">
        <f>IF(OR($B31="",$B30=""),"",$B31-$B30)</f>
        <v/>
      </c>
      <c r="D31" s="16">
        <f>IF($C31="","",ROUND($C31*$C$5,2))</f>
        <v/>
      </c>
      <c r="E31" s="10" t="n"/>
      <c r="F31" s="15">
        <f>IF(OR($E31="",$E30=""),"",$E31-$E30)</f>
        <v/>
      </c>
      <c r="G31" s="16">
        <f>IF($F31="","",ROUND($F31*$F$5,2))</f>
        <v/>
      </c>
      <c r="H31" s="10" t="n"/>
      <c r="I31" s="15">
        <f>IF(OR($H31="",$H30=""),"",$H31-$H30)</f>
        <v/>
      </c>
      <c r="J31" s="16">
        <f>IF($I31="","",ROUND($I31*$I$5,2))</f>
        <v/>
      </c>
      <c r="K31" s="17">
        <f>IF(AND($D31="",$G31="",$J31=""),"",ROUND(SUM($D31,$G31,$J31),2))</f>
        <v/>
      </c>
    </row>
  </sheetData>
  <mergeCells count="9">
    <mergeCell ref="M17:N17"/>
    <mergeCell ref="M15:N15"/>
    <mergeCell ref="D5:E5"/>
    <mergeCell ref="A5:B5"/>
    <mergeCell ref="A2:K2"/>
    <mergeCell ref="G5:H5"/>
    <mergeCell ref="M14:N14"/>
    <mergeCell ref="A1:K1"/>
    <mergeCell ref="M16:N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2026-09-13T12:18:08Z</dcterms:created>
  <dcterms:modified xmlns:dcterms="http://purl.org/dc/terms/" xmlns:xsi="http://www.w3.org/2001/XMLSchema-instance" xsi:type="dcterms:W3CDTF">2026-09-13T12:18:08Z</dcterms:modified>
</cp:coreProperties>
</file>