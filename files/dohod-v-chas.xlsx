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ход в час" sheetId="1" state="visible" r:id="rId1"/>
  </sheets>
  <definedNames>
    <definedName name="_xlnm._FilterDatabase" localSheetId="0" hidden="1">'Доход в час'!$A$5:$F$35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&quot; ₽&quot;"/>
  </numFmts>
  <fonts count="7">
    <font>
      <name val="Calibri"/>
      <family val="2"/>
      <color theme="1"/>
      <sz val="11"/>
      <scheme val="minor"/>
    </font>
    <font>
      <name val="Segoe UI"/>
      <b val="1"/>
      <color rgb="002E266D"/>
      <sz val="18"/>
    </font>
    <font>
      <name val="Segoe UI"/>
      <color rgb="002E266D"/>
      <sz val="9"/>
    </font>
    <font>
      <name val="Segoe UI"/>
      <i val="1"/>
      <color rgb="002E266D"/>
      <sz val="9"/>
    </font>
    <font>
      <name val="Segoe UI"/>
      <b val="1"/>
      <color rgb="002E266D"/>
      <sz val="10"/>
    </font>
    <font>
      <name val="Segoe UI"/>
      <color rgb="002E266D"/>
      <sz val="10"/>
    </font>
    <font>
      <name val="Segoe UI"/>
      <b val="1"/>
      <color rgb="002E266D"/>
      <sz val="12"/>
    </font>
  </fonts>
  <fills count="8">
    <fill>
      <patternFill/>
    </fill>
    <fill>
      <patternFill patternType="gray125"/>
    </fill>
    <fill>
      <patternFill patternType="solid">
        <fgColor rgb="00FFF9C7"/>
      </patternFill>
    </fill>
    <fill>
      <patternFill patternType="solid">
        <fgColor rgb="00C0F0F7"/>
      </patternFill>
    </fill>
    <fill>
      <patternFill patternType="solid">
        <fgColor rgb="00FFFBE6"/>
      </patternFill>
    </fill>
    <fill>
      <patternFill patternType="solid">
        <fgColor rgb="00EFFCFF"/>
      </patternFill>
    </fill>
    <fill>
      <patternFill patternType="solid">
        <fgColor rgb="00DCEF7B"/>
      </patternFill>
    </fill>
    <fill>
      <patternFill patternType="solid">
        <fgColor rgb="00FFE9DB"/>
      </patternFill>
    </fill>
  </fills>
  <borders count="2">
    <border>
      <left/>
      <right/>
      <top/>
      <bottom/>
      <diagonal/>
    </border>
    <border>
      <left style="thin">
        <color rgb="00C9C6DE"/>
      </left>
      <right style="thin">
        <color rgb="00C9C6DE"/>
      </right>
      <top style="thin">
        <color rgb="00C9C6DE"/>
      </top>
      <bottom style="thin">
        <color rgb="00C9C6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>
          <bgColor rgb="00FFE9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22" customWidth="1" min="4" max="4"/>
    <col width="14" customWidth="1" min="5" max="5"/>
    <col width="26" customWidth="1" min="6" max="6"/>
    <col width="3" customWidth="1" min="7" max="7"/>
    <col width="32" customWidth="1" min="8" max="8"/>
    <col width="16" customWidth="1" min="9" max="9"/>
  </cols>
  <sheetData>
    <row r="1" ht="34" customHeight="1">
      <c r="A1" s="1" t="inlineStr">
        <is>
          <t>Сколько я зарабатываю в час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Считайте всё время: переписку, правки, созвоны. Иначе цифра будет красивая, но неправдивая.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4" t="inlineStr">
        <is>
          <t>Часы вписывайте числом: 2,5 — это два с половиной часа.</t>
        </is>
      </c>
    </row>
    <row r="5" ht="30" customHeight="1">
      <c r="A5" s="5" t="inlineStr">
        <is>
          <t>Что делала / заказчик</t>
        </is>
      </c>
      <c r="B5" s="5" t="inlineStr">
        <is>
          <t>Дата</t>
        </is>
      </c>
      <c r="C5" s="5" t="inlineStr">
        <is>
          <t>Получено, ₽</t>
        </is>
      </c>
      <c r="D5" s="5" t="inlineStr">
        <is>
          <t>Часы — всё время целиком</t>
        </is>
      </c>
      <c r="E5" s="5" t="inlineStr">
        <is>
          <t>₽ в час</t>
        </is>
      </c>
      <c r="F5" s="5" t="inlineStr">
        <is>
          <t>Комментарий</t>
        </is>
      </c>
      <c r="G5" s="5" t="inlineStr"/>
      <c r="H5" s="5" t="inlineStr">
        <is>
          <t>Итоги</t>
        </is>
      </c>
      <c r="I5" s="5" t="inlineStr"/>
    </row>
    <row r="6" ht="28" customHeight="1">
      <c r="A6" s="6" t="inlineStr">
        <is>
          <t>Перенос данных в Word, конференция</t>
        </is>
      </c>
      <c r="B6" s="7" t="n">
        <v>46267</v>
      </c>
      <c r="C6" s="8" t="n">
        <v>800</v>
      </c>
      <c r="D6" s="9" t="n">
        <v>3.5</v>
      </c>
      <c r="E6" s="10">
        <f>IF(OR($C6="",$D6="",$D6=0),"",ROUND($C6/$D6,0))</f>
        <v/>
      </c>
      <c r="F6" s="6" t="inlineStr">
        <is>
          <t>правки два раза</t>
        </is>
      </c>
      <c r="H6" s="11" t="inlineStr">
        <is>
          <t>Всего получено</t>
        </is>
      </c>
      <c r="I6" s="10">
        <f>ROUND(SUM($C$6:$C$35),0)</f>
        <v/>
      </c>
    </row>
    <row r="7" ht="28" customHeight="1">
      <c r="A7" s="6" t="inlineStr">
        <is>
          <t>Макрос для среза, Kwork</t>
        </is>
      </c>
      <c r="B7" s="7" t="n">
        <v>46271</v>
      </c>
      <c r="C7" s="8" t="n">
        <v>2500</v>
      </c>
      <c r="D7" s="9" t="n">
        <v>4</v>
      </c>
      <c r="E7" s="10">
        <f>IF(OR($C7="",$D7="",$D7=0),"",ROUND($C7/$D7,0))</f>
        <v/>
      </c>
      <c r="F7" s="6" t="n"/>
      <c r="H7" s="11" t="inlineStr">
        <is>
          <t>Всего часов</t>
        </is>
      </c>
      <c r="I7" s="12">
        <f>ROUND(SUM($D$6:$D$35),1)</f>
        <v/>
      </c>
    </row>
    <row r="8" ht="28" customHeight="1">
      <c r="A8" s="6" t="inlineStr">
        <is>
          <t>Свести две таблицы в одну</t>
        </is>
      </c>
      <c r="B8" s="7" t="n">
        <v>46274</v>
      </c>
      <c r="C8" s="8" t="n">
        <v>600</v>
      </c>
      <c r="D8" s="9" t="n">
        <v>2</v>
      </c>
      <c r="E8" s="10">
        <f>IF(OR($C8="",$D8="",$D8=0),"",ROUND($C8/$D8,0))</f>
        <v/>
      </c>
      <c r="F8" s="6" t="inlineStr">
        <is>
          <t>много переписки</t>
        </is>
      </c>
      <c r="H8" s="13" t="inlineStr">
        <is>
          <t>В среднем за час</t>
        </is>
      </c>
      <c r="I8" s="14">
        <f>ROUND(IF(SUM($D$6:$D$35)=0,0,SUM($C$6:$C$35)/SUM($D$6:$D$35)),0)</f>
        <v/>
      </c>
    </row>
    <row r="9" ht="28" customHeight="1">
      <c r="A9" s="6" t="inlineStr">
        <is>
          <t>Таблица учёта для знакомой</t>
        </is>
      </c>
      <c r="B9" s="7" t="n">
        <v>46276</v>
      </c>
      <c r="C9" s="8" t="n">
        <v>1500</v>
      </c>
      <c r="D9" s="9" t="n">
        <v>6</v>
      </c>
      <c r="E9" s="10">
        <f>IF(OR($C9="",$D9="",$D9=0),"",ROUND($C9/$D9,0))</f>
        <v/>
      </c>
      <c r="F9" s="6" t="inlineStr">
        <is>
          <t>делала с нуля</t>
        </is>
      </c>
      <c r="H9" s="15" t="inlineStr">
        <is>
          <t>Лучшая работа</t>
        </is>
      </c>
      <c r="I9" s="16">
        <f>IFERROR(INDEX($A$6:$A$35,MATCH(MAX($E$6:$E$35),$E$6:$E$35,0)),"—")</f>
        <v/>
      </c>
    </row>
    <row r="10" ht="28" customHeight="1">
      <c r="A10" s="6" t="n"/>
      <c r="B10" s="7" t="n"/>
      <c r="C10" s="8" t="n"/>
      <c r="D10" s="9" t="n"/>
      <c r="E10" s="10">
        <f>IF(OR($C10="",$D10="",$D10=0),"",ROUND($C10/$D10,0))</f>
        <v/>
      </c>
      <c r="F10" s="6" t="n"/>
      <c r="H10" s="17" t="inlineStr">
        <is>
          <t>Худшая работа</t>
        </is>
      </c>
      <c r="I10" s="18">
        <f>IFERROR(INDEX($A$6:$A$35,MATCH(MIN($E$6:$E$35),$E$6:$E$35,0)),"—")</f>
        <v/>
      </c>
    </row>
    <row r="11" ht="28" customHeight="1">
      <c r="A11" s="6" t="n"/>
      <c r="B11" s="7" t="n"/>
      <c r="C11" s="8" t="n"/>
      <c r="D11" s="9" t="n"/>
      <c r="E11" s="10">
        <f>IF(OR($C11="",$D11="",$D11=0),"",ROUND($C11/$D11,0))</f>
        <v/>
      </c>
      <c r="F11" s="6" t="n"/>
      <c r="H11" s="17" t="inlineStr">
        <is>
          <t>Работ ниже среднего</t>
        </is>
      </c>
      <c r="I11" s="19">
        <f>COUNTIFS($E$6:$E$35,"&lt;"&amp;IF(SUM($D$6:$D$35)=0,0,SUM($C$6:$C$35)/SUM($D$6:$D$35)),$E$6:$E$35,"&gt;0")</f>
        <v/>
      </c>
    </row>
    <row r="12" ht="18" customHeight="1">
      <c r="A12" s="6" t="n"/>
      <c r="B12" s="7" t="n"/>
      <c r="C12" s="8" t="n"/>
      <c r="D12" s="9" t="n"/>
      <c r="E12" s="10">
        <f>IF(OR($C12="",$D12="",$D12=0),"",ROUND($C12/$D12,0))</f>
        <v/>
      </c>
      <c r="F12" s="6" t="n"/>
    </row>
    <row r="13" ht="18" customHeight="1">
      <c r="A13" s="6" t="n"/>
      <c r="B13" s="7" t="n"/>
      <c r="C13" s="8" t="n"/>
      <c r="D13" s="9" t="n"/>
      <c r="E13" s="10">
        <f>IF(OR($C13="",$D13="",$D13=0),"",ROUND($C13/$D13,0))</f>
        <v/>
      </c>
      <c r="F13" s="6" t="n"/>
      <c r="H13" s="20" t="inlineStr">
        <is>
          <t>Как этим пользоваться</t>
        </is>
      </c>
    </row>
    <row r="14" ht="46" customHeight="1">
      <c r="A14" s="6" t="n"/>
      <c r="B14" s="7" t="n"/>
      <c r="C14" s="8" t="n"/>
      <c r="D14" s="9" t="n"/>
      <c r="E14" s="10">
        <f>IF(OR($C14="",$D14="",$D14=0),"",ROUND($C14/$D14,0))</f>
        <v/>
      </c>
      <c r="F14" s="6" t="n"/>
      <c r="H14" s="21" t="inlineStr">
        <is>
          <t>• Средняя ставка считается как все деньги / все часы, а не как среднее по строкам — иначе один быстрый заказ задирает картину.</t>
        </is>
      </c>
    </row>
    <row r="15" ht="46" customHeight="1">
      <c r="A15" s="6" t="n"/>
      <c r="B15" s="7" t="n"/>
      <c r="C15" s="8" t="n"/>
      <c r="D15" s="9" t="n"/>
      <c r="E15" s="10">
        <f>IF(OR($C15="",$D15="",$D15=0),"",ROUND($C15/$D15,0))</f>
        <v/>
      </c>
      <c r="F15" s="6" t="n"/>
      <c r="H15" s="21" t="inlineStr">
        <is>
          <t>• Персиковым подсвечены работы, где вы заработали меньше своей средней. Если такая работа повторяется — поднимайте цену или отказывайтесь.</t>
        </is>
      </c>
    </row>
    <row r="16" ht="46" customHeight="1">
      <c r="A16" s="6" t="n"/>
      <c r="B16" s="7" t="n"/>
      <c r="C16" s="8" t="n"/>
      <c r="D16" s="9" t="n"/>
      <c r="E16" s="10">
        <f>IF(OR($C16="",$D16="",$D16=0),"",ROUND($C16/$D16,0))</f>
        <v/>
      </c>
      <c r="F16" s="6" t="n"/>
      <c r="H16" s="21" t="inlineStr">
        <is>
          <t>• Через месяц сравните среднюю ставку с прошлой. Это единственная цифра, которая показывает, растёте вы или просто больше работаете.</t>
        </is>
      </c>
    </row>
    <row r="17" ht="18" customHeight="1">
      <c r="A17" s="6" t="n"/>
      <c r="B17" s="7" t="n"/>
      <c r="C17" s="8" t="n"/>
      <c r="D17" s="9" t="n"/>
      <c r="E17" s="10">
        <f>IF(OR($C17="",$D17="",$D17=0),"",ROUND($C17/$D17,0))</f>
        <v/>
      </c>
      <c r="F17" s="6" t="n"/>
    </row>
    <row r="18" ht="18" customHeight="1">
      <c r="A18" s="6" t="n"/>
      <c r="B18" s="7" t="n"/>
      <c r="C18" s="8" t="n"/>
      <c r="D18" s="9" t="n"/>
      <c r="E18" s="10">
        <f>IF(OR($C18="",$D18="",$D18=0),"",ROUND($C18/$D18,0))</f>
        <v/>
      </c>
      <c r="F18" s="6" t="n"/>
    </row>
    <row r="19" ht="18" customHeight="1">
      <c r="A19" s="6" t="n"/>
      <c r="B19" s="7" t="n"/>
      <c r="C19" s="8" t="n"/>
      <c r="D19" s="9" t="n"/>
      <c r="E19" s="10">
        <f>IF(OR($C19="",$D19="",$D19=0),"",ROUND($C19/$D19,0))</f>
        <v/>
      </c>
      <c r="F19" s="6" t="n"/>
    </row>
    <row r="20" ht="18" customHeight="1">
      <c r="A20" s="6" t="n"/>
      <c r="B20" s="7" t="n"/>
      <c r="C20" s="8" t="n"/>
      <c r="D20" s="9" t="n"/>
      <c r="E20" s="10">
        <f>IF(OR($C20="",$D20="",$D20=0),"",ROUND($C20/$D20,0))</f>
        <v/>
      </c>
      <c r="F20" s="6" t="n"/>
    </row>
    <row r="21" ht="18" customHeight="1">
      <c r="A21" s="6" t="n"/>
      <c r="B21" s="7" t="n"/>
      <c r="C21" s="8" t="n"/>
      <c r="D21" s="9" t="n"/>
      <c r="E21" s="10">
        <f>IF(OR($C21="",$D21="",$D21=0),"",ROUND($C21/$D21,0))</f>
        <v/>
      </c>
      <c r="F21" s="6" t="n"/>
    </row>
    <row r="22" ht="18" customHeight="1">
      <c r="A22" s="6" t="n"/>
      <c r="B22" s="7" t="n"/>
      <c r="C22" s="8" t="n"/>
      <c r="D22" s="9" t="n"/>
      <c r="E22" s="10">
        <f>IF(OR($C22="",$D22="",$D22=0),"",ROUND($C22/$D22,0))</f>
        <v/>
      </c>
      <c r="F22" s="6" t="n"/>
    </row>
    <row r="23" ht="18" customHeight="1">
      <c r="A23" s="6" t="n"/>
      <c r="B23" s="7" t="n"/>
      <c r="C23" s="8" t="n"/>
      <c r="D23" s="9" t="n"/>
      <c r="E23" s="10">
        <f>IF(OR($C23="",$D23="",$D23=0),"",ROUND($C23/$D23,0))</f>
        <v/>
      </c>
      <c r="F23" s="6" t="n"/>
    </row>
    <row r="24" ht="18" customHeight="1">
      <c r="A24" s="6" t="n"/>
      <c r="B24" s="7" t="n"/>
      <c r="C24" s="8" t="n"/>
      <c r="D24" s="9" t="n"/>
      <c r="E24" s="10">
        <f>IF(OR($C24="",$D24="",$D24=0),"",ROUND($C24/$D24,0))</f>
        <v/>
      </c>
      <c r="F24" s="6" t="n"/>
    </row>
    <row r="25" ht="18" customHeight="1">
      <c r="A25" s="6" t="n"/>
      <c r="B25" s="7" t="n"/>
      <c r="C25" s="8" t="n"/>
      <c r="D25" s="9" t="n"/>
      <c r="E25" s="10">
        <f>IF(OR($C25="",$D25="",$D25=0),"",ROUND($C25/$D25,0))</f>
        <v/>
      </c>
      <c r="F25" s="6" t="n"/>
    </row>
    <row r="26" ht="18" customHeight="1">
      <c r="A26" s="6" t="n"/>
      <c r="B26" s="7" t="n"/>
      <c r="C26" s="8" t="n"/>
      <c r="D26" s="9" t="n"/>
      <c r="E26" s="10">
        <f>IF(OR($C26="",$D26="",$D26=0),"",ROUND($C26/$D26,0))</f>
        <v/>
      </c>
      <c r="F26" s="6" t="n"/>
    </row>
    <row r="27" ht="18" customHeight="1">
      <c r="A27" s="6" t="n"/>
      <c r="B27" s="7" t="n"/>
      <c r="C27" s="8" t="n"/>
      <c r="D27" s="9" t="n"/>
      <c r="E27" s="10">
        <f>IF(OR($C27="",$D27="",$D27=0),"",ROUND($C27/$D27,0))</f>
        <v/>
      </c>
      <c r="F27" s="6" t="n"/>
    </row>
    <row r="28" ht="18" customHeight="1">
      <c r="A28" s="6" t="n"/>
      <c r="B28" s="7" t="n"/>
      <c r="C28" s="8" t="n"/>
      <c r="D28" s="9" t="n"/>
      <c r="E28" s="10">
        <f>IF(OR($C28="",$D28="",$D28=0),"",ROUND($C28/$D28,0))</f>
        <v/>
      </c>
      <c r="F28" s="6" t="n"/>
    </row>
    <row r="29" ht="18" customHeight="1">
      <c r="A29" s="6" t="n"/>
      <c r="B29" s="7" t="n"/>
      <c r="C29" s="8" t="n"/>
      <c r="D29" s="9" t="n"/>
      <c r="E29" s="10">
        <f>IF(OR($C29="",$D29="",$D29=0),"",ROUND($C29/$D29,0))</f>
        <v/>
      </c>
      <c r="F29" s="6" t="n"/>
    </row>
    <row r="30" ht="18" customHeight="1">
      <c r="A30" s="6" t="n"/>
      <c r="B30" s="7" t="n"/>
      <c r="C30" s="8" t="n"/>
      <c r="D30" s="9" t="n"/>
      <c r="E30" s="10">
        <f>IF(OR($C30="",$D30="",$D30=0),"",ROUND($C30/$D30,0))</f>
        <v/>
      </c>
      <c r="F30" s="6" t="n"/>
    </row>
    <row r="31" ht="18" customHeight="1">
      <c r="A31" s="6" t="n"/>
      <c r="B31" s="7" t="n"/>
      <c r="C31" s="8" t="n"/>
      <c r="D31" s="9" t="n"/>
      <c r="E31" s="10">
        <f>IF(OR($C31="",$D31="",$D31=0),"",ROUND($C31/$D31,0))</f>
        <v/>
      </c>
      <c r="F31" s="6" t="n"/>
    </row>
    <row r="32" ht="18" customHeight="1">
      <c r="A32" s="6" t="n"/>
      <c r="B32" s="7" t="n"/>
      <c r="C32" s="8" t="n"/>
      <c r="D32" s="9" t="n"/>
      <c r="E32" s="10">
        <f>IF(OR($C32="",$D32="",$D32=0),"",ROUND($C32/$D32,0))</f>
        <v/>
      </c>
      <c r="F32" s="6" t="n"/>
    </row>
    <row r="33" ht="18" customHeight="1">
      <c r="A33" s="6" t="n"/>
      <c r="B33" s="7" t="n"/>
      <c r="C33" s="8" t="n"/>
      <c r="D33" s="9" t="n"/>
      <c r="E33" s="10">
        <f>IF(OR($C33="",$D33="",$D33=0),"",ROUND($C33/$D33,0))</f>
        <v/>
      </c>
      <c r="F33" s="6" t="n"/>
    </row>
    <row r="34" ht="18" customHeight="1">
      <c r="A34" s="6" t="n"/>
      <c r="B34" s="7" t="n"/>
      <c r="C34" s="8" t="n"/>
      <c r="D34" s="9" t="n"/>
      <c r="E34" s="10">
        <f>IF(OR($C34="",$D34="",$D34=0),"",ROUND($C34/$D34,0))</f>
        <v/>
      </c>
      <c r="F34" s="6" t="n"/>
    </row>
    <row r="35" ht="18" customHeight="1">
      <c r="A35" s="6" t="n"/>
      <c r="B35" s="7" t="n"/>
      <c r="C35" s="8" t="n"/>
      <c r="D35" s="9" t="n"/>
      <c r="E35" s="10">
        <f>IF(OR($C35="",$D35="",$D35=0),"",ROUND($C35/$D35,0))</f>
        <v/>
      </c>
      <c r="F35" s="6" t="n"/>
    </row>
  </sheetData>
  <autoFilter ref="A5:F35"/>
  <mergeCells count="5">
    <mergeCell ref="A2:I2"/>
    <mergeCell ref="H16:I16"/>
    <mergeCell ref="H15:I15"/>
    <mergeCell ref="A1:I1"/>
    <mergeCell ref="H14:I14"/>
  </mergeCells>
  <conditionalFormatting sqref="A6:F35">
    <cfRule type="expression" priority="1" dxfId="0">
      <formula>=AND($E6&lt;&gt;"",$E6&lt;IF(SUM($D$6:$D$35)=0,0,SUM($C$6:$C$35)/SUM($D$6:$D$35)))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2026-09-13T12:17:05Z</dcterms:created>
  <dcterms:modified xmlns:dcterms="http://purl.org/dc/terms/" xmlns:xsi="http://www.w3.org/2001/XMLSchema-instance" xsi:type="dcterms:W3CDTF">2026-09-13T12:17:05Z</dcterms:modified>
</cp:coreProperties>
</file>